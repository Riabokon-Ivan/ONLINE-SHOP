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E:\VLAD\IT\DAN_IT\FEM3-FINAL-PROJECT\"/>
    </mc:Choice>
  </mc:AlternateContent>
  <xr:revisionPtr revIDLastSave="0" documentId="13_ncr:1_{93CF1527-E5C0-49CF-B267-1CD659285FE7}" xr6:coauthVersionLast="45" xr6:coauthVersionMax="45" xr10:uidLastSave="{00000000-0000-0000-0000-000000000000}"/>
  <bookViews>
    <workbookView xWindow="-108" yWindow="-108" windowWidth="23256" windowHeight="12576" firstSheet="1" activeTab="1" xr2:uid="{904C5962-C68D-4EDD-B96F-336E3766755B}"/>
  </bookViews>
  <sheets>
    <sheet name="Sheet1" sheetId="1" state="hidden"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0" i="2" l="1"/>
  <c r="H29" i="2"/>
  <c r="H28" i="2"/>
  <c r="H27" i="2"/>
  <c r="H26" i="2"/>
  <c r="H25" i="2"/>
  <c r="H24" i="2"/>
  <c r="H23" i="2"/>
  <c r="H22" i="2"/>
  <c r="H21" i="2"/>
  <c r="H5" i="2"/>
  <c r="H6" i="2"/>
  <c r="H7" i="2"/>
  <c r="H8" i="2"/>
  <c r="H9" i="2"/>
  <c r="H10" i="2"/>
  <c r="H11" i="2"/>
  <c r="H12" i="2"/>
  <c r="H13" i="2"/>
  <c r="H14" i="2"/>
  <c r="H15" i="2"/>
  <c r="H16" i="2"/>
  <c r="H17" i="2"/>
  <c r="H4" i="2"/>
  <c r="I4" i="2" s="1"/>
  <c r="I5" i="2" l="1"/>
  <c r="I6" i="2" s="1"/>
  <c r="I7" i="2" s="1"/>
  <c r="I8" i="2" s="1"/>
  <c r="I9" i="2" s="1"/>
  <c r="I10" i="2" s="1"/>
  <c r="I11" i="2" s="1"/>
  <c r="I12" i="2" s="1"/>
  <c r="I13" i="2" s="1"/>
  <c r="I14" i="2" s="1"/>
  <c r="I15" i="2" s="1"/>
  <c r="I16" i="2" s="1"/>
  <c r="I17" i="2" s="1"/>
  <c r="I20" i="2" s="1"/>
  <c r="I21" i="2" l="1"/>
  <c r="I22" i="2" s="1"/>
  <c r="I23" i="2" s="1"/>
  <c r="I24" i="2" s="1"/>
  <c r="I25" i="2" s="1"/>
  <c r="I26" i="2" s="1"/>
  <c r="I27" i="2" s="1"/>
  <c r="I28" i="2" s="1"/>
  <c r="I29" i="2" s="1"/>
  <c r="I30" i="2" s="1"/>
  <c r="I3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Межерицкий Владислав</author>
  </authors>
  <commentList>
    <comment ref="G4" authorId="0" shapeId="0" xr:uid="{8B7E262C-8D21-4622-B995-AF52201AFB95}">
      <text>
        <r>
          <rPr>
            <b/>
            <sz val="9"/>
            <color indexed="81"/>
            <rFont val="Tahoma"/>
            <family val="2"/>
            <charset val="204"/>
          </rPr>
          <t>Межерицкий Владислав:</t>
        </r>
        <r>
          <rPr>
            <sz val="9"/>
            <color indexed="81"/>
            <rFont val="Tahoma"/>
            <family val="2"/>
            <charset val="204"/>
          </rPr>
          <t xml:space="preserve">
start with '
Example:
'true or 'false</t>
        </r>
      </text>
    </comment>
  </commentList>
</comments>
</file>

<file path=xl/sharedStrings.xml><?xml version="1.0" encoding="utf-8"?>
<sst xmlns="http://schemas.openxmlformats.org/spreadsheetml/2006/main" count="262" uniqueCount="125">
  <si>
    <t>SKU:</t>
  </si>
  <si>
    <t>18.7587.6040</t>
  </si>
  <si>
    <t>EAN</t>
  </si>
  <si>
    <t>Brand</t>
  </si>
  <si>
    <t>WMF</t>
  </si>
  <si>
    <t>Collection</t>
  </si>
  <si>
    <t>Black Line</t>
  </si>
  <si>
    <t>Size sets</t>
  </si>
  <si>
    <t>1-pc.</t>
  </si>
  <si>
    <t>Material</t>
  </si>
  <si>
    <t>Cromargan® 18/10 stainless steel</t>
  </si>
  <si>
    <t>Material property</t>
  </si>
  <si>
    <t>Stainless steel, polished</t>
  </si>
  <si>
    <t>Production</t>
  </si>
  <si>
    <t>Engineered in Germany</t>
  </si>
  <si>
    <t>Length (cm)</t>
  </si>
  <si>
    <t>Color</t>
  </si>
  <si>
    <t>black, stainless steel</t>
  </si>
  <si>
    <t>Care</t>
  </si>
  <si>
    <t>Dishwasher safe</t>
  </si>
  <si>
    <t>Designer</t>
  </si>
  <si>
    <t>Metz &amp; Kindler Produktdesign</t>
  </si>
  <si>
    <t>Design Award</t>
  </si>
  <si>
    <t>red dot award Design Zentrum NRW 2004</t>
  </si>
  <si>
    <t>21.1030.2247</t>
  </si>
  <si>
    <t>Silit</t>
  </si>
  <si>
    <t>Belluna</t>
  </si>
  <si>
    <t>Scope of delivery</t>
  </si>
  <si>
    <t>1x frying pan</t>
  </si>
  <si>
    <t>Aluminium</t>
  </si>
  <si>
    <t>coated, PFOA free</t>
  </si>
  <si>
    <t>Building material</t>
  </si>
  <si>
    <t>Keramik, Kunststoff</t>
  </si>
  <si>
    <t>Product properties</t>
  </si>
  <si>
    <t>Easy to clean and care for, Regular tan through optimal heat conduction, Wide pouring rim for drip-free pouring., Plastic handle</t>
  </si>
  <si>
    <t>Induction-compatible</t>
  </si>
  <si>
    <t>Stove type</t>
  </si>
  <si>
    <t>suitable for glass-ceramic, gas, electric and induction stoves</t>
  </si>
  <si>
    <t>Diameter (cm)</t>
  </si>
  <si>
    <t>Product Description</t>
  </si>
  <si>
    <t>Silitan non stick coating
Long-lasting ceramic coating
Induction-suitable aluminum bottom
Plastic handle with flame guard
Wide pouring rim</t>
  </si>
  <si>
    <t>Ob Hobby- oder Profikoch, ob Spiegelei mit Speck oder Haute Cuisine: Der Klassiker unter den Pfannen darf in keiner Küche fehlen. Die Silit Stielpfannen sind aus hochwertigen Materialien gefertigt und verfügen über beste Wärmeeigenschaften. Einfach in der Handhabung, eignen sie sich zur Zubereitung verschiedenster Gerichte und brauchen dabei stets nur wenig Fett zum Anbraten.
Die Silit Pfannen-Kollektion Belluna macht den Küchenalltag ein Stückchen bunter und das Braten schneller, gleichmäßiger und besser. Dabei verzaubert die langlebige Außenbeschichtung aus Keramik gleich auf den ersten Blick in den Farben Blau, Grün und Rosé mit einem markanten Struktureffekt sowie einer sehr einfachen Reinigung. Im Pfanneninneren begeistert die PFOA-freie Silitan Antihaftbeschichtung mit besten Antihafteigenschaften - ob beim fettarmen Zubereiten von Gemüse, dem schonenden Braten delikater Fischfilets oder dem kurzen, heißen Angrillen saftiger Steaks. Und dies selbstverständlich auf jedem Herd, auch bei Induktion.</t>
  </si>
  <si>
    <t>Highlights</t>
  </si>
  <si>
    <t>SKU</t>
  </si>
  <si>
    <t>article code</t>
  </si>
  <si>
    <t>EAN code (штрих код товара)</t>
  </si>
  <si>
    <t>enabled</t>
  </si>
  <si>
    <t>required</t>
  </si>
  <si>
    <t>Boolean</t>
  </si>
  <si>
    <t>by user</t>
  </si>
  <si>
    <t>name</t>
  </si>
  <si>
    <t>String</t>
  </si>
  <si>
    <t>Name of product to show on store interface</t>
  </si>
  <si>
    <t>currentPrice</t>
  </si>
  <si>
    <t>Number</t>
  </si>
  <si>
    <t>Price to buy product</t>
  </si>
  <si>
    <t>previousPrice</t>
  </si>
  <si>
    <t>optional</t>
  </si>
  <si>
    <t>categories</t>
  </si>
  <si>
    <t>A low level category to which product is assigned</t>
  </si>
  <si>
    <t>imageUrls</t>
  </si>
  <si>
    <t>json</t>
  </si>
  <si>
    <t>Array of strings with url paths to product images</t>
  </si>
  <si>
    <t>quantity</t>
  </si>
  <si>
    <t>color</t>
  </si>
  <si>
    <t>-</t>
  </si>
  <si>
    <t>sizes</t>
  </si>
  <si>
    <t>productUrl</t>
  </si>
  <si>
    <t>brand</t>
  </si>
  <si>
    <t>manufacturer</t>
  </si>
  <si>
    <t>manufacturerCountry</t>
  </si>
  <si>
    <t>seller</t>
  </si>
  <si>
    <t>date</t>
  </si>
  <si>
    <t>Date</t>
  </si>
  <si>
    <t>by system</t>
  </si>
  <si>
    <t>Property</t>
  </si>
  <si>
    <t>Type</t>
  </si>
  <si>
    <t>Data type</t>
  </si>
  <si>
    <t>Generated</t>
  </si>
  <si>
    <t>Description</t>
  </si>
  <si>
    <r>
      <t>Default value - </t>
    </r>
    <r>
      <rPr>
        <sz val="12"/>
        <color theme="1"/>
        <rFont val="Consolas"/>
        <family val="3"/>
        <charset val="204"/>
      </rPr>
      <t>true</t>
    </r>
  </si>
  <si>
    <r>
      <t>default </t>
    </r>
    <r>
      <rPr>
        <sz val="12"/>
        <color theme="1"/>
        <rFont val="Consolas"/>
        <family val="3"/>
        <charset val="204"/>
      </rPr>
      <t>Date.now()</t>
    </r>
  </si>
  <si>
    <t>Will we use it?</t>
  </si>
  <si>
    <t>yes</t>
  </si>
  <si>
    <t>Quantity of product in store. default = 0</t>
  </si>
  <si>
    <t>???</t>
  </si>
  <si>
    <t>no</t>
  </si>
  <si>
    <t>myCustomParam:</t>
  </si>
  <si>
    <t>штрих код товара</t>
  </si>
  <si>
    <t>how many pieces in set</t>
  </si>
  <si>
    <t>setSize</t>
  </si>
  <si>
    <t>care</t>
  </si>
  <si>
    <t>material</t>
  </si>
  <si>
    <t>collection</t>
  </si>
  <si>
    <t>capacity</t>
  </si>
  <si>
    <t>in liters (for glasses)</t>
  </si>
  <si>
    <t>power</t>
  </si>
  <si>
    <t>voltage</t>
  </si>
  <si>
    <t>for home appliance</t>
  </si>
  <si>
    <t>in our case can be different metrics (diameter, length, width etc)</t>
  </si>
  <si>
    <t>Сrossed out price (if promotion)</t>
  </si>
  <si>
    <t>"</t>
  </si>
  <si>
    <t>{</t>
  </si>
  <si>
    <t>fs</t>
  </si>
  <si>
    <t>}</t>
  </si>
  <si>
    <t>VALUE</t>
  </si>
  <si>
    <t>tech</t>
  </si>
  <si>
    <t>sad</t>
  </si>
  <si>
    <t>aa</t>
  </si>
  <si>
    <t>, "myCustomParam": {</t>
  </si>
  <si>
    <t>} }</t>
  </si>
  <si>
    <t>[]</t>
  </si>
  <si>
    <t>true</t>
  </si>
  <si>
    <t>asddas</t>
  </si>
  <si>
    <t>*</t>
  </si>
  <si>
    <t>Step 1</t>
  </si>
  <si>
    <t>Step 2</t>
  </si>
  <si>
    <t>=&gt;</t>
  </si>
  <si>
    <t>JSON format =&gt;</t>
  </si>
  <si>
    <t>aaaaaaaaaaaaaaaaaaaaaaaaaaaaaaaaaaaaaaaa</t>
  </si>
  <si>
    <t>productDescription</t>
  </si>
  <si>
    <t>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t>
  </si>
  <si>
    <t>CELLS TO BE FILLED</t>
  </si>
  <si>
    <t>DO NOT TOUCH</t>
  </si>
  <si>
    <t>{"enabled": "true", "name": "asddas", "currentPrice": "100", "previousPrice": "200", "categories": "fs", "imageUrls": "[]", "quantity": "5", "color": "aaaaaaaaaaaaaaaaaaaaaaaaaaaaaaaaaaaaaaaa", "myCustomParam": {"EAN": "123456", "collection": "sad", "care": "aa", "productDescription": "The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</si>
</sst>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charset val="204"/>
      <scheme val="minor"/>
    </font>
    <font>
      <sz val="10"/>
      <color rgb="FF1A1A1A"/>
      <name val="Arial"/>
      <family val="2"/>
      <charset val="204"/>
    </font>
    <font>
      <sz val="12"/>
      <color theme="1"/>
      <name val="Calibri"/>
      <family val="2"/>
      <charset val="204"/>
      <scheme val="minor"/>
    </font>
    <font>
      <sz val="12"/>
      <color theme="1"/>
      <name val="Consolas"/>
      <family val="3"/>
      <charset val="204"/>
    </font>
    <font>
      <sz val="12"/>
      <color theme="1"/>
      <name val="Arial"/>
      <family val="2"/>
      <charset val="204"/>
    </font>
    <font>
      <b/>
      <sz val="12"/>
      <color theme="1"/>
      <name val="Calibri"/>
      <family val="2"/>
      <charset val="204"/>
      <scheme val="minor"/>
    </font>
    <font>
      <b/>
      <sz val="12"/>
      <color theme="0"/>
      <name val="Calibri"/>
      <family val="2"/>
      <charset val="204"/>
      <scheme val="minor"/>
    </font>
    <font>
      <b/>
      <sz val="12"/>
      <color theme="0"/>
      <name val="Arial"/>
      <family val="2"/>
      <charset val="204"/>
    </font>
    <font>
      <sz val="9"/>
      <color indexed="81"/>
      <name val="Tahoma"/>
      <family val="2"/>
      <charset val="204"/>
    </font>
    <font>
      <b/>
      <sz val="9"/>
      <color indexed="81"/>
      <name val="Tahoma"/>
      <family val="2"/>
      <charset val="204"/>
    </font>
    <font>
      <sz val="12"/>
      <color rgb="FFFF0000"/>
      <name val="Calibri"/>
      <family val="2"/>
      <charset val="204"/>
      <scheme val="minor"/>
    </font>
    <font>
      <b/>
      <sz val="20"/>
      <color rgb="FFFF0000"/>
      <name val="Calibri"/>
      <family val="2"/>
      <charset val="204"/>
      <scheme val="minor"/>
    </font>
  </fonts>
  <fills count="9">
    <fill>
      <patternFill patternType="none"/>
    </fill>
    <fill>
      <patternFill patternType="gray125"/>
    </fill>
    <fill>
      <patternFill patternType="solid">
        <fgColor rgb="FFFFFFFF"/>
        <bgColor indexed="64"/>
      </patternFill>
    </fill>
    <fill>
      <patternFill patternType="solid">
        <fgColor rgb="FFDBDFE0"/>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59999389629810485"/>
        <bgColor indexed="64"/>
      </patternFill>
    </fill>
    <fill>
      <patternFill patternType="gray0625"/>
    </fill>
    <fill>
      <patternFill patternType="solid">
        <fgColor theme="4"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rgb="FFFF0000"/>
      </left>
      <right style="thick">
        <color rgb="FFFF0000"/>
      </right>
      <top style="thick">
        <color rgb="FFFF0000"/>
      </top>
      <bottom style="thick">
        <color rgb="FFFF0000"/>
      </bottom>
      <diagonal/>
    </border>
  </borders>
  <cellStyleXfs count="1">
    <xf numFmtId="0" fontId="0" fillId="0" borderId="0"/>
  </cellStyleXfs>
  <cellXfs count="35">
    <xf numFmtId="0" fontId="0" fillId="0" borderId="0" xfId="0"/>
    <xf numFmtId="0" fontId="0" fillId="0" borderId="0" xfId="0" applyAlignment="1"/>
    <xf numFmtId="0" fontId="1" fillId="4" borderId="0" xfId="0" applyFont="1" applyFill="1" applyBorder="1" applyAlignment="1">
      <alignment vertical="top"/>
    </xf>
    <xf numFmtId="0" fontId="1" fillId="2" borderId="0" xfId="0" applyFont="1" applyFill="1" applyBorder="1" applyAlignment="1">
      <alignment horizontal="right" vertical="top"/>
    </xf>
    <xf numFmtId="1" fontId="1" fillId="2" borderId="0" xfId="0" applyNumberFormat="1" applyFont="1" applyFill="1" applyBorder="1" applyAlignment="1">
      <alignment horizontal="right" vertical="top"/>
    </xf>
    <xf numFmtId="0" fontId="1" fillId="2" borderId="0" xfId="0" applyFont="1" applyFill="1" applyBorder="1" applyAlignment="1">
      <alignment vertical="top"/>
    </xf>
    <xf numFmtId="0" fontId="1" fillId="3" borderId="0" xfId="0" applyFont="1" applyFill="1" applyBorder="1" applyAlignment="1">
      <alignment vertical="top"/>
    </xf>
    <xf numFmtId="0" fontId="1" fillId="3" borderId="0" xfId="0" applyFont="1" applyFill="1" applyBorder="1" applyAlignment="1">
      <alignment horizontal="right" vertical="top"/>
    </xf>
    <xf numFmtId="0" fontId="2" fillId="0" borderId="0" xfId="0" applyFont="1" applyBorder="1" applyAlignment="1">
      <alignment vertical="center"/>
    </xf>
    <xf numFmtId="0" fontId="5" fillId="0" borderId="0" xfId="0" applyFont="1" applyBorder="1" applyAlignment="1">
      <alignment vertical="center" wrapText="1"/>
    </xf>
    <xf numFmtId="0" fontId="2" fillId="0" borderId="0" xfId="0" applyFont="1" applyBorder="1" applyAlignment="1">
      <alignment vertical="center" wrapText="1"/>
    </xf>
    <xf numFmtId="0" fontId="3" fillId="4" borderId="1" xfId="0" applyFont="1" applyFill="1" applyBorder="1" applyAlignment="1">
      <alignment horizontal="left" vertical="center" wrapText="1"/>
    </xf>
    <xf numFmtId="0" fontId="4" fillId="4" borderId="1" xfId="0" applyFont="1" applyFill="1" applyBorder="1" applyAlignment="1">
      <alignment horizontal="left" vertical="center" wrapText="1"/>
    </xf>
    <xf numFmtId="0" fontId="3" fillId="2"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0" fontId="5" fillId="0" borderId="0" xfId="0" applyFont="1" applyBorder="1" applyAlignment="1">
      <alignment horizontal="center" vertical="center" wrapText="1"/>
    </xf>
    <xf numFmtId="0" fontId="6" fillId="5" borderId="0"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2" fillId="4"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0" fillId="0" borderId="0" xfId="0" applyFont="1" applyBorder="1" applyAlignment="1">
      <alignment vertical="center" wrapText="1"/>
    </xf>
    <xf numFmtId="0" fontId="2" fillId="7" borderId="0" xfId="0" applyFont="1" applyFill="1" applyBorder="1" applyAlignment="1">
      <alignment horizontal="center" vertical="center" wrapText="1"/>
    </xf>
    <xf numFmtId="0" fontId="6" fillId="8" borderId="0" xfId="0" applyFont="1" applyFill="1" applyBorder="1" applyAlignment="1">
      <alignment horizontal="center" vertical="center" wrapText="1"/>
    </xf>
    <xf numFmtId="0" fontId="11" fillId="0" borderId="0" xfId="0" quotePrefix="1" applyFont="1" applyBorder="1" applyAlignment="1">
      <alignment horizontal="center" vertical="center" textRotation="180" wrapText="1"/>
    </xf>
    <xf numFmtId="0" fontId="2" fillId="6" borderId="1" xfId="0" quotePrefix="1" applyFont="1" applyFill="1" applyBorder="1" applyAlignment="1" applyProtection="1">
      <alignment horizontal="center" vertical="center" wrapText="1"/>
      <protection locked="0"/>
    </xf>
    <xf numFmtId="0" fontId="2" fillId="6" borderId="1" xfId="0" applyFont="1" applyFill="1" applyBorder="1" applyAlignment="1" applyProtection="1">
      <alignment horizontal="center" vertical="center" wrapText="1"/>
      <protection locked="0"/>
    </xf>
    <xf numFmtId="0" fontId="2" fillId="0" borderId="3" xfId="0" applyFont="1" applyBorder="1" applyAlignment="1" applyProtection="1">
      <alignment vertical="center" wrapText="1"/>
      <protection locked="0"/>
    </xf>
    <xf numFmtId="0" fontId="2" fillId="6" borderId="1" xfId="0" quotePrefix="1" applyFont="1" applyFill="1" applyBorder="1" applyAlignment="1" applyProtection="1">
      <alignment horizontal="center" vertical="center"/>
      <protection locked="0"/>
    </xf>
    <xf numFmtId="0" fontId="2" fillId="7" borderId="0" xfId="0" applyFont="1" applyFill="1" applyBorder="1" applyAlignment="1">
      <alignment vertical="center" wrapText="1"/>
    </xf>
    <xf numFmtId="0" fontId="2" fillId="7" borderId="0" xfId="0" applyFont="1" applyFill="1" applyBorder="1" applyAlignment="1">
      <alignment vertical="center"/>
    </xf>
    <xf numFmtId="0" fontId="2" fillId="0" borderId="0" xfId="0" applyFont="1" applyBorder="1" applyAlignment="1" applyProtection="1">
      <alignment horizontal="center" vertical="center" wrapText="1"/>
    </xf>
    <xf numFmtId="0" fontId="7" fillId="5" borderId="2" xfId="0" applyFont="1" applyFill="1" applyBorder="1" applyAlignment="1" applyProtection="1">
      <alignment horizontal="center" vertical="center" wrapText="1"/>
    </xf>
    <xf numFmtId="0" fontId="2" fillId="7" borderId="0" xfId="0" applyFont="1" applyFill="1" applyBorder="1" applyAlignment="1" applyProtection="1">
      <alignment horizontal="center" vertical="center" wrapText="1"/>
    </xf>
    <xf numFmtId="0" fontId="5" fillId="6" borderId="0" xfId="0" applyFont="1" applyFill="1" applyBorder="1" applyAlignment="1" applyProtection="1">
      <alignment horizontal="center" vertical="center" wrapText="1"/>
    </xf>
    <xf numFmtId="0" fontId="5" fillId="7" borderId="0"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99060</xdr:colOff>
          <xdr:row>32</xdr:row>
          <xdr:rowOff>60960</xdr:rowOff>
        </xdr:from>
        <xdr:to>
          <xdr:col>7</xdr:col>
          <xdr:colOff>1219200</xdr:colOff>
          <xdr:row>32</xdr:row>
          <xdr:rowOff>891540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3DCB2D80-8083-4A3B-8D4B-B208D8623D1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UA" sz="1100" b="0" i="0" u="none" strike="noStrike" baseline="0">
                  <a:solidFill>
                    <a:srgbClr val="000000"/>
                  </a:solidFill>
                  <a:latin typeface="Calibri"/>
                  <a:cs typeface="Calibri"/>
                </a:rPr>
                <a:t>PRESS ME!</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MAKE JSON GREAT AGAIN:)</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12237-F325-448C-9EDC-268568A66400}">
  <sheetPr codeName="Sheet1"/>
  <dimension ref="B2:F29"/>
  <sheetViews>
    <sheetView workbookViewId="0">
      <selection activeCell="E2" sqref="E2:E3"/>
    </sheetView>
  </sheetViews>
  <sheetFormatPr defaultRowHeight="14.4" x14ac:dyDescent="0.3"/>
  <cols>
    <col min="1" max="1" width="8.88671875" style="1"/>
    <col min="2" max="2" width="16.109375" style="1" bestFit="1" customWidth="1"/>
    <col min="3" max="3" width="42.44140625" style="1" customWidth="1"/>
    <col min="4" max="4" width="24.33203125" style="1" customWidth="1"/>
    <col min="5" max="5" width="17.21875" style="1" bestFit="1" customWidth="1"/>
    <col min="6" max="16384" width="8.88671875" style="1"/>
  </cols>
  <sheetData>
    <row r="2" spans="2:6" x14ac:dyDescent="0.3">
      <c r="B2" s="2" t="s">
        <v>0</v>
      </c>
      <c r="C2" s="3" t="s">
        <v>1</v>
      </c>
      <c r="E2" s="1" t="s">
        <v>42</v>
      </c>
      <c r="F2" s="1" t="s">
        <v>40</v>
      </c>
    </row>
    <row r="3" spans="2:6" x14ac:dyDescent="0.3">
      <c r="B3" s="2" t="s">
        <v>2</v>
      </c>
      <c r="C3" s="4">
        <v>4000530576484</v>
      </c>
      <c r="E3" s="1" t="s">
        <v>39</v>
      </c>
      <c r="F3" s="1" t="s">
        <v>41</v>
      </c>
    </row>
    <row r="4" spans="2:6" x14ac:dyDescent="0.3">
      <c r="B4" s="2" t="s">
        <v>3</v>
      </c>
      <c r="C4" s="3" t="s">
        <v>4</v>
      </c>
    </row>
    <row r="5" spans="2:6" x14ac:dyDescent="0.3">
      <c r="B5" s="2" t="s">
        <v>5</v>
      </c>
      <c r="C5" s="3" t="s">
        <v>6</v>
      </c>
    </row>
    <row r="6" spans="2:6" x14ac:dyDescent="0.3">
      <c r="B6" s="2" t="s">
        <v>7</v>
      </c>
      <c r="C6" s="3" t="s">
        <v>8</v>
      </c>
    </row>
    <row r="7" spans="2:6" x14ac:dyDescent="0.3">
      <c r="B7" s="2" t="s">
        <v>9</v>
      </c>
      <c r="C7" s="3" t="s">
        <v>10</v>
      </c>
    </row>
    <row r="8" spans="2:6" x14ac:dyDescent="0.3">
      <c r="B8" s="2" t="s">
        <v>11</v>
      </c>
      <c r="C8" s="3" t="s">
        <v>12</v>
      </c>
      <c r="E8" s="1" t="s">
        <v>43</v>
      </c>
      <c r="F8" s="1" t="s">
        <v>44</v>
      </c>
    </row>
    <row r="9" spans="2:6" x14ac:dyDescent="0.3">
      <c r="B9" s="5" t="s">
        <v>13</v>
      </c>
      <c r="C9" s="3" t="s">
        <v>14</v>
      </c>
      <c r="E9" s="1" t="s">
        <v>2</v>
      </c>
      <c r="F9" s="1" t="s">
        <v>45</v>
      </c>
    </row>
    <row r="10" spans="2:6" x14ac:dyDescent="0.3">
      <c r="B10" s="5" t="s">
        <v>15</v>
      </c>
      <c r="C10" s="3">
        <v>24</v>
      </c>
      <c r="E10" s="1" t="s">
        <v>3</v>
      </c>
    </row>
    <row r="11" spans="2:6" x14ac:dyDescent="0.3">
      <c r="B11" s="5" t="s">
        <v>16</v>
      </c>
      <c r="C11" s="3" t="s">
        <v>17</v>
      </c>
    </row>
    <row r="12" spans="2:6" x14ac:dyDescent="0.3">
      <c r="B12" s="5" t="s">
        <v>18</v>
      </c>
      <c r="C12" s="3" t="s">
        <v>19</v>
      </c>
    </row>
    <row r="13" spans="2:6" x14ac:dyDescent="0.3">
      <c r="B13" s="5" t="s">
        <v>20</v>
      </c>
      <c r="C13" s="3" t="s">
        <v>21</v>
      </c>
    </row>
    <row r="14" spans="2:6" x14ac:dyDescent="0.3">
      <c r="B14" s="6" t="s">
        <v>22</v>
      </c>
      <c r="C14" s="7" t="s">
        <v>23</v>
      </c>
    </row>
    <row r="17" spans="2:3" x14ac:dyDescent="0.3">
      <c r="B17" s="5" t="s">
        <v>0</v>
      </c>
      <c r="C17" s="3" t="s">
        <v>24</v>
      </c>
    </row>
    <row r="18" spans="2:3" x14ac:dyDescent="0.3">
      <c r="B18" s="5" t="s">
        <v>2</v>
      </c>
      <c r="C18" s="3">
        <v>4004633302247</v>
      </c>
    </row>
    <row r="19" spans="2:3" x14ac:dyDescent="0.3">
      <c r="B19" s="5" t="s">
        <v>3</v>
      </c>
      <c r="C19" s="3" t="s">
        <v>25</v>
      </c>
    </row>
    <row r="20" spans="2:3" x14ac:dyDescent="0.3">
      <c r="B20" s="5" t="s">
        <v>5</v>
      </c>
      <c r="C20" s="3" t="s">
        <v>26</v>
      </c>
    </row>
    <row r="21" spans="2:3" x14ac:dyDescent="0.3">
      <c r="B21" s="5" t="s">
        <v>7</v>
      </c>
      <c r="C21" s="3" t="s">
        <v>8</v>
      </c>
    </row>
    <row r="22" spans="2:3" x14ac:dyDescent="0.3">
      <c r="B22" s="5" t="s">
        <v>27</v>
      </c>
      <c r="C22" s="3" t="s">
        <v>28</v>
      </c>
    </row>
    <row r="23" spans="2:3" x14ac:dyDescent="0.3">
      <c r="B23" s="5" t="s">
        <v>9</v>
      </c>
      <c r="C23" s="3" t="s">
        <v>29</v>
      </c>
    </row>
    <row r="24" spans="2:3" x14ac:dyDescent="0.3">
      <c r="B24" s="5" t="s">
        <v>11</v>
      </c>
      <c r="C24" s="3" t="s">
        <v>30</v>
      </c>
    </row>
    <row r="25" spans="2:3" x14ac:dyDescent="0.3">
      <c r="B25" s="5" t="s">
        <v>31</v>
      </c>
      <c r="C25" s="3" t="s">
        <v>32</v>
      </c>
    </row>
    <row r="26" spans="2:3" x14ac:dyDescent="0.3">
      <c r="B26" s="5" t="s">
        <v>33</v>
      </c>
      <c r="C26" s="3" t="s">
        <v>34</v>
      </c>
    </row>
    <row r="27" spans="2:3" x14ac:dyDescent="0.3">
      <c r="B27" s="5" t="s">
        <v>35</v>
      </c>
      <c r="C27" s="3" t="s">
        <v>35</v>
      </c>
    </row>
    <row r="28" spans="2:3" x14ac:dyDescent="0.3">
      <c r="B28" s="5" t="s">
        <v>36</v>
      </c>
      <c r="C28" s="3" t="s">
        <v>37</v>
      </c>
    </row>
    <row r="29" spans="2:3" x14ac:dyDescent="0.3">
      <c r="B29" s="6" t="s">
        <v>38</v>
      </c>
      <c r="C29" s="7">
        <v>24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20848-A970-44B1-BD67-A4F3F7AE6272}">
  <sheetPr codeName="Sheet2"/>
  <dimension ref="A1:J35"/>
  <sheetViews>
    <sheetView tabSelected="1" topLeftCell="B1" zoomScale="85" zoomScaleNormal="85" workbookViewId="0">
      <pane ySplit="3" topLeftCell="A16" activePane="bottomLeft" state="frozen"/>
      <selection pane="bottomLeft" activeCell="K13" sqref="K13"/>
    </sheetView>
  </sheetViews>
  <sheetFormatPr defaultRowHeight="15.6" outlineLevelRow="1" outlineLevelCol="1" x14ac:dyDescent="0.3"/>
  <cols>
    <col min="1" max="1" width="8" style="19" hidden="1" customWidth="1" outlineLevel="1"/>
    <col min="2" max="2" width="24.5546875" style="10" bestFit="1" customWidth="1" collapsed="1"/>
    <col min="3" max="3" width="9" style="10" bestFit="1" customWidth="1"/>
    <col min="4" max="4" width="11" style="10" bestFit="1" customWidth="1"/>
    <col min="5" max="5" width="12" style="10" bestFit="1" customWidth="1"/>
    <col min="6" max="6" width="42.109375" style="10" customWidth="1"/>
    <col min="7" max="7" width="22.88671875" style="30" customWidth="1"/>
    <col min="8" max="8" width="19.109375" style="10" customWidth="1"/>
    <col min="9" max="9" width="63.21875" style="10" customWidth="1"/>
    <col min="10" max="10" width="2.109375" style="10" bestFit="1" customWidth="1"/>
    <col min="11" max="16384" width="8.88671875" style="10"/>
  </cols>
  <sheetData>
    <row r="1" spans="1:10" hidden="1" outlineLevel="1" x14ac:dyDescent="0.3">
      <c r="C1" s="21" t="s">
        <v>101</v>
      </c>
      <c r="D1" s="21" t="s">
        <v>102</v>
      </c>
      <c r="E1" s="21" t="s">
        <v>104</v>
      </c>
      <c r="G1" s="10"/>
    </row>
    <row r="2" spans="1:10" customFormat="1" collapsed="1" x14ac:dyDescent="0.3">
      <c r="G2" s="33" t="s">
        <v>122</v>
      </c>
      <c r="H2" s="34" t="s">
        <v>123</v>
      </c>
    </row>
    <row r="3" spans="1:10" ht="31.2" x14ac:dyDescent="0.3">
      <c r="A3" s="16" t="s">
        <v>82</v>
      </c>
      <c r="B3" s="17" t="s">
        <v>75</v>
      </c>
      <c r="C3" s="17" t="s">
        <v>76</v>
      </c>
      <c r="D3" s="17" t="s">
        <v>77</v>
      </c>
      <c r="E3" s="17" t="s">
        <v>78</v>
      </c>
      <c r="F3" s="17" t="s">
        <v>79</v>
      </c>
      <c r="G3" s="31" t="s">
        <v>105</v>
      </c>
      <c r="H3" s="22" t="s">
        <v>115</v>
      </c>
      <c r="I3" s="22" t="s">
        <v>116</v>
      </c>
    </row>
    <row r="4" spans="1:10" x14ac:dyDescent="0.3">
      <c r="A4" s="18" t="s">
        <v>83</v>
      </c>
      <c r="B4" s="11" t="s">
        <v>46</v>
      </c>
      <c r="C4" s="12" t="s">
        <v>47</v>
      </c>
      <c r="D4" s="12" t="s">
        <v>48</v>
      </c>
      <c r="E4" s="12" t="s">
        <v>49</v>
      </c>
      <c r="F4" s="12" t="s">
        <v>80</v>
      </c>
      <c r="G4" s="24" t="s">
        <v>112</v>
      </c>
      <c r="H4" s="28" t="str">
        <f>$C$1&amp;$B4&amp;$C$1&amp;": "&amp;$C$1&amp;$G4&amp;$C$1</f>
        <v>"enabled": "true"</v>
      </c>
      <c r="I4" s="29" t="str">
        <f>D1&amp;H4</f>
        <v>{"enabled": "true"</v>
      </c>
      <c r="J4" s="19" t="s">
        <v>114</v>
      </c>
    </row>
    <row r="5" spans="1:10" ht="30" x14ac:dyDescent="0.3">
      <c r="A5" s="18" t="s">
        <v>83</v>
      </c>
      <c r="B5" s="11" t="s">
        <v>50</v>
      </c>
      <c r="C5" s="12" t="s">
        <v>47</v>
      </c>
      <c r="D5" s="12" t="s">
        <v>51</v>
      </c>
      <c r="E5" s="12" t="s">
        <v>49</v>
      </c>
      <c r="F5" s="12" t="s">
        <v>52</v>
      </c>
      <c r="G5" s="25" t="s">
        <v>113</v>
      </c>
      <c r="H5" s="28" t="str">
        <f>$C$1&amp;$B5&amp;$C$1&amp;": "&amp;$C$1&amp;$G5&amp;$C$1</f>
        <v>"name": "asddas"</v>
      </c>
      <c r="I5" s="29" t="str">
        <f>IF(G5="",I4,I4&amp;", "&amp;H5)</f>
        <v>{"enabled": "true", "name": "asddas"</v>
      </c>
      <c r="J5" s="19" t="s">
        <v>114</v>
      </c>
    </row>
    <row r="6" spans="1:10" x14ac:dyDescent="0.3">
      <c r="A6" s="18" t="s">
        <v>83</v>
      </c>
      <c r="B6" s="11" t="s">
        <v>53</v>
      </c>
      <c r="C6" s="12" t="s">
        <v>47</v>
      </c>
      <c r="D6" s="12" t="s">
        <v>54</v>
      </c>
      <c r="E6" s="12" t="s">
        <v>49</v>
      </c>
      <c r="F6" s="12" t="s">
        <v>55</v>
      </c>
      <c r="G6" s="25">
        <v>100</v>
      </c>
      <c r="H6" s="28" t="str">
        <f>$C$1&amp;$B6&amp;$C$1&amp;": "&amp;$C$1&amp;$G6&amp;$C$1</f>
        <v>"currentPrice": "100"</v>
      </c>
      <c r="I6" s="29" t="str">
        <f>IF(G6="",I5,I5&amp;", "&amp;H6)</f>
        <v>{"enabled": "true", "name": "asddas", "currentPrice": "100"</v>
      </c>
      <c r="J6" s="19" t="s">
        <v>114</v>
      </c>
    </row>
    <row r="7" spans="1:10" x14ac:dyDescent="0.3">
      <c r="A7" s="19" t="s">
        <v>83</v>
      </c>
      <c r="B7" s="13" t="s">
        <v>56</v>
      </c>
      <c r="C7" s="14" t="s">
        <v>57</v>
      </c>
      <c r="D7" s="14" t="s">
        <v>54</v>
      </c>
      <c r="E7" s="14" t="s">
        <v>49</v>
      </c>
      <c r="F7" s="14" t="s">
        <v>100</v>
      </c>
      <c r="G7" s="25">
        <v>200</v>
      </c>
      <c r="H7" s="28" t="str">
        <f>$C$1&amp;$B7&amp;$C$1&amp;": "&amp;$C$1&amp;$G7&amp;$C$1</f>
        <v>"previousPrice": "200"</v>
      </c>
      <c r="I7" s="29" t="str">
        <f>IF(G7="",I6,I6&amp;", "&amp;H7)</f>
        <v>{"enabled": "true", "name": "asddas", "currentPrice": "100", "previousPrice": "200"</v>
      </c>
      <c r="J7" s="19" t="s">
        <v>114</v>
      </c>
    </row>
    <row r="8" spans="1:10" ht="30" x14ac:dyDescent="0.3">
      <c r="A8" s="18" t="s">
        <v>83</v>
      </c>
      <c r="B8" s="11" t="s">
        <v>58</v>
      </c>
      <c r="C8" s="12" t="s">
        <v>47</v>
      </c>
      <c r="D8" s="12" t="s">
        <v>51</v>
      </c>
      <c r="E8" s="12" t="s">
        <v>49</v>
      </c>
      <c r="F8" s="12" t="s">
        <v>59</v>
      </c>
      <c r="G8" s="25" t="s">
        <v>103</v>
      </c>
      <c r="H8" s="28" t="str">
        <f>$C$1&amp;$B8&amp;$C$1&amp;": "&amp;$C$1&amp;$G8&amp;$C$1</f>
        <v>"categories": "fs"</v>
      </c>
      <c r="I8" s="29" t="str">
        <f>IF(G8="",I7,I7&amp;", "&amp;H8)</f>
        <v>{"enabled": "true", "name": "asddas", "currentPrice": "100", "previousPrice": "200", "categories": "fs"</v>
      </c>
      <c r="J8" s="19" t="s">
        <v>114</v>
      </c>
    </row>
    <row r="9" spans="1:10" ht="30" x14ac:dyDescent="0.3">
      <c r="A9" s="18" t="s">
        <v>83</v>
      </c>
      <c r="B9" s="11" t="s">
        <v>60</v>
      </c>
      <c r="C9" s="12" t="s">
        <v>47</v>
      </c>
      <c r="D9" s="12" t="s">
        <v>61</v>
      </c>
      <c r="E9" s="12" t="s">
        <v>49</v>
      </c>
      <c r="F9" s="12" t="s">
        <v>62</v>
      </c>
      <c r="G9" s="25" t="s">
        <v>111</v>
      </c>
      <c r="H9" s="28" t="str">
        <f>$C$1&amp;$B9&amp;$C$1&amp;": "&amp;$C$1&amp;$G9&amp;$C$1</f>
        <v>"imageUrls": "[]"</v>
      </c>
      <c r="I9" s="29" t="str">
        <f>IF(G9="",I8,I8&amp;", "&amp;H9)</f>
        <v>{"enabled": "true", "name": "asddas", "currentPrice": "100", "previousPrice": "200", "categories": "fs", "imageUrls": "[]"</v>
      </c>
      <c r="J9" s="19" t="s">
        <v>114</v>
      </c>
    </row>
    <row r="10" spans="1:10" x14ac:dyDescent="0.3">
      <c r="A10" s="18" t="s">
        <v>83</v>
      </c>
      <c r="B10" s="11" t="s">
        <v>63</v>
      </c>
      <c r="C10" s="12" t="s">
        <v>47</v>
      </c>
      <c r="D10" s="12" t="s">
        <v>54</v>
      </c>
      <c r="E10" s="12" t="s">
        <v>49</v>
      </c>
      <c r="F10" s="12" t="s">
        <v>84</v>
      </c>
      <c r="G10" s="25">
        <v>5</v>
      </c>
      <c r="H10" s="28" t="str">
        <f>$C$1&amp;$B10&amp;$C$1&amp;": "&amp;$C$1&amp;$G10&amp;$C$1</f>
        <v>"quantity": "5"</v>
      </c>
      <c r="I10" s="29" t="str">
        <f>IF(G10="",I9,I9&amp;", "&amp;H10)</f>
        <v>{"enabled": "true", "name": "asddas", "currentPrice": "100", "previousPrice": "200", "categories": "fs", "imageUrls": "[]", "quantity": "5"</v>
      </c>
      <c r="J10" s="19" t="s">
        <v>114</v>
      </c>
    </row>
    <row r="11" spans="1:10" ht="46.8" x14ac:dyDescent="0.3">
      <c r="A11" s="19" t="s">
        <v>83</v>
      </c>
      <c r="B11" s="13" t="s">
        <v>64</v>
      </c>
      <c r="C11" s="14" t="s">
        <v>57</v>
      </c>
      <c r="D11" s="14" t="s">
        <v>51</v>
      </c>
      <c r="E11" s="14" t="s">
        <v>49</v>
      </c>
      <c r="F11" s="14" t="s">
        <v>65</v>
      </c>
      <c r="G11" s="25" t="s">
        <v>119</v>
      </c>
      <c r="H11" s="28" t="str">
        <f>$C$1&amp;$B11&amp;$C$1&amp;": "&amp;$C$1&amp;$G11&amp;$C$1</f>
        <v>"color": "aaaaaaaaaaaaaaaaaaaaaaaaaaaaaaaaaaaaaaaa"</v>
      </c>
      <c r="I11" s="29" t="str">
        <f>IF(G11="",I10,I10&amp;", "&amp;H11)</f>
        <v>{"enabled": "true", "name": "asddas", "currentPrice": "100", "previousPrice": "200", "categories": "fs", "imageUrls": "[]", "quantity": "5", "color": "aaaaaaaaaaaaaaaaaaaaaaaaaaaaaaaaaaaaaaaa"</v>
      </c>
      <c r="J11" s="19" t="s">
        <v>114</v>
      </c>
    </row>
    <row r="12" spans="1:10" x14ac:dyDescent="0.3">
      <c r="A12" s="19" t="s">
        <v>86</v>
      </c>
      <c r="B12" s="13" t="s">
        <v>66</v>
      </c>
      <c r="C12" s="14" t="s">
        <v>57</v>
      </c>
      <c r="D12" s="14" t="s">
        <v>51</v>
      </c>
      <c r="E12" s="14" t="s">
        <v>49</v>
      </c>
      <c r="F12" s="14" t="s">
        <v>65</v>
      </c>
      <c r="G12" s="25"/>
      <c r="H12" s="28" t="str">
        <f>$C$1&amp;$B12&amp;$C$1&amp;": "&amp;$C$1&amp;$G12&amp;$C$1</f>
        <v>"sizes": ""</v>
      </c>
      <c r="I12" s="29" t="str">
        <f>IF(G12="",I11,I11&amp;", "&amp;H12)</f>
        <v>{"enabled": "true", "name": "asddas", "currentPrice": "100", "previousPrice": "200", "categories": "fs", "imageUrls": "[]", "quantity": "5", "color": "aaaaaaaaaaaaaaaaaaaaaaaaaaaaaaaaaaaaaaaa"</v>
      </c>
      <c r="J12" s="19" t="s">
        <v>114</v>
      </c>
    </row>
    <row r="13" spans="1:10" x14ac:dyDescent="0.3">
      <c r="A13" s="19" t="s">
        <v>85</v>
      </c>
      <c r="B13" s="13" t="s">
        <v>67</v>
      </c>
      <c r="C13" s="14" t="s">
        <v>57</v>
      </c>
      <c r="D13" s="14" t="s">
        <v>51</v>
      </c>
      <c r="E13" s="14" t="s">
        <v>49</v>
      </c>
      <c r="F13" s="14" t="s">
        <v>65</v>
      </c>
      <c r="G13" s="25"/>
      <c r="H13" s="28" t="str">
        <f>$C$1&amp;$B13&amp;$C$1&amp;": "&amp;$C$1&amp;$G13&amp;$C$1</f>
        <v>"productUrl": ""</v>
      </c>
      <c r="I13" s="29" t="str">
        <f>IF(G13="",I12,I12&amp;", "&amp;H13)</f>
        <v>{"enabled": "true", "name": "asddas", "currentPrice": "100", "previousPrice": "200", "categories": "fs", "imageUrls": "[]", "quantity": "5", "color": "aaaaaaaaaaaaaaaaaaaaaaaaaaaaaaaaaaaaaaaa"</v>
      </c>
      <c r="J13" s="19" t="s">
        <v>114</v>
      </c>
    </row>
    <row r="14" spans="1:10" x14ac:dyDescent="0.3">
      <c r="A14" s="19" t="s">
        <v>83</v>
      </c>
      <c r="B14" s="13" t="s">
        <v>68</v>
      </c>
      <c r="C14" s="14" t="s">
        <v>57</v>
      </c>
      <c r="D14" s="14" t="s">
        <v>51</v>
      </c>
      <c r="E14" s="14" t="s">
        <v>49</v>
      </c>
      <c r="F14" s="14" t="s">
        <v>65</v>
      </c>
      <c r="G14" s="25"/>
      <c r="H14" s="28" t="str">
        <f>$C$1&amp;$B14&amp;$C$1&amp;": "&amp;$C$1&amp;$G14&amp;$C$1</f>
        <v>"brand": ""</v>
      </c>
      <c r="I14" s="29" t="str">
        <f>IF(G14="",I13,I13&amp;", "&amp;H14)</f>
        <v>{"enabled": "true", "name": "asddas", "currentPrice": "100", "previousPrice": "200", "categories": "fs", "imageUrls": "[]", "quantity": "5", "color": "aaaaaaaaaaaaaaaaaaaaaaaaaaaaaaaaaaaaaaaa"</v>
      </c>
      <c r="J14" s="19" t="s">
        <v>114</v>
      </c>
    </row>
    <row r="15" spans="1:10" x14ac:dyDescent="0.3">
      <c r="A15" s="19" t="s">
        <v>83</v>
      </c>
      <c r="B15" s="13" t="s">
        <v>69</v>
      </c>
      <c r="C15" s="14" t="s">
        <v>57</v>
      </c>
      <c r="D15" s="14" t="s">
        <v>51</v>
      </c>
      <c r="E15" s="14" t="s">
        <v>49</v>
      </c>
      <c r="F15" s="14" t="s">
        <v>65</v>
      </c>
      <c r="G15" s="25"/>
      <c r="H15" s="28" t="str">
        <f>$C$1&amp;$B15&amp;$C$1&amp;": "&amp;$C$1&amp;$G15&amp;$C$1</f>
        <v>"manufacturer": ""</v>
      </c>
      <c r="I15" s="29" t="str">
        <f>IF(G15="",I14,I14&amp;", "&amp;H15)</f>
        <v>{"enabled": "true", "name": "asddas", "currentPrice": "100", "previousPrice": "200", "categories": "fs", "imageUrls": "[]", "quantity": "5", "color": "aaaaaaaaaaaaaaaaaaaaaaaaaaaaaaaaaaaaaaaa"</v>
      </c>
      <c r="J15" s="19" t="s">
        <v>114</v>
      </c>
    </row>
    <row r="16" spans="1:10" x14ac:dyDescent="0.3">
      <c r="A16" s="19" t="s">
        <v>83</v>
      </c>
      <c r="B16" s="13" t="s">
        <v>70</v>
      </c>
      <c r="C16" s="14" t="s">
        <v>57</v>
      </c>
      <c r="D16" s="14" t="s">
        <v>51</v>
      </c>
      <c r="E16" s="14" t="s">
        <v>49</v>
      </c>
      <c r="F16" s="14" t="s">
        <v>65</v>
      </c>
      <c r="G16" s="25"/>
      <c r="H16" s="28" t="str">
        <f>$C$1&amp;$B16&amp;$C$1&amp;": "&amp;$C$1&amp;$G16&amp;$C$1</f>
        <v>"manufacturerCountry": ""</v>
      </c>
      <c r="I16" s="29" t="str">
        <f>IF(G16="",I15,I15&amp;", "&amp;H16)</f>
        <v>{"enabled": "true", "name": "asddas", "currentPrice": "100", "previousPrice": "200", "categories": "fs", "imageUrls": "[]", "quantity": "5", "color": "aaaaaaaaaaaaaaaaaaaaaaaaaaaaaaaaaaaaaaaa"</v>
      </c>
      <c r="J16" s="19" t="s">
        <v>114</v>
      </c>
    </row>
    <row r="17" spans="1:10" x14ac:dyDescent="0.3">
      <c r="A17" s="19" t="s">
        <v>86</v>
      </c>
      <c r="B17" s="13" t="s">
        <v>71</v>
      </c>
      <c r="C17" s="14" t="s">
        <v>57</v>
      </c>
      <c r="D17" s="14" t="s">
        <v>51</v>
      </c>
      <c r="E17" s="14" t="s">
        <v>49</v>
      </c>
      <c r="F17" s="14" t="s">
        <v>65</v>
      </c>
      <c r="G17" s="25"/>
      <c r="H17" s="28" t="str">
        <f>$C$1&amp;$B17&amp;$C$1&amp;": "&amp;$C$1&amp;$G17&amp;$C$1</f>
        <v>"seller": ""</v>
      </c>
      <c r="I17" s="29" t="str">
        <f>IF(G17="",I16,I16&amp;", "&amp;H17)</f>
        <v>{"enabled": "true", "name": "asddas", "currentPrice": "100", "previousPrice": "200", "categories": "fs", "imageUrls": "[]", "quantity": "5", "color": "aaaaaaaaaaaaaaaaaaaaaaaaaaaaaaaaaaaaaaaa"</v>
      </c>
      <c r="J17" s="19" t="s">
        <v>114</v>
      </c>
    </row>
    <row r="18" spans="1:10" x14ac:dyDescent="0.3">
      <c r="A18" s="18" t="s">
        <v>83</v>
      </c>
      <c r="B18" s="11" t="s">
        <v>72</v>
      </c>
      <c r="C18" s="12" t="s">
        <v>47</v>
      </c>
      <c r="D18" s="12" t="s">
        <v>73</v>
      </c>
      <c r="E18" s="12" t="s">
        <v>74</v>
      </c>
      <c r="F18" s="12" t="s">
        <v>81</v>
      </c>
      <c r="G18" s="32"/>
      <c r="I18" s="8"/>
      <c r="J18" s="19" t="s">
        <v>114</v>
      </c>
    </row>
    <row r="19" spans="1:10" x14ac:dyDescent="0.3">
      <c r="I19" s="8"/>
      <c r="J19" s="19" t="s">
        <v>114</v>
      </c>
    </row>
    <row r="20" spans="1:10" x14ac:dyDescent="0.3">
      <c r="B20" s="9" t="s">
        <v>87</v>
      </c>
      <c r="G20" s="32" t="s">
        <v>106</v>
      </c>
      <c r="H20" s="28" t="s">
        <v>109</v>
      </c>
      <c r="I20" s="29" t="str">
        <f>IF(G20="",I17,I17&amp;H20)</f>
        <v>{"enabled": "true", "name": "asddas", "currentPrice": "100", "previousPrice": "200", "categories": "fs", "imageUrls": "[]", "quantity": "5", "color": "aaaaaaaaaaaaaaaaaaaaaaaaaaaaaaaaaaaaaaaa", "myCustomParam": {</v>
      </c>
      <c r="J20" s="19" t="s">
        <v>114</v>
      </c>
    </row>
    <row r="21" spans="1:10" x14ac:dyDescent="0.3">
      <c r="A21" s="18" t="s">
        <v>83</v>
      </c>
      <c r="B21" s="11" t="s">
        <v>2</v>
      </c>
      <c r="C21" s="12" t="s">
        <v>47</v>
      </c>
      <c r="D21" s="12" t="s">
        <v>54</v>
      </c>
      <c r="E21" s="12" t="s">
        <v>49</v>
      </c>
      <c r="F21" s="12" t="s">
        <v>88</v>
      </c>
      <c r="G21" s="25">
        <v>123456</v>
      </c>
      <c r="H21" s="28" t="str">
        <f>$C$1&amp;$B21&amp;$C$1&amp;": "&amp;$C$1&amp;$G21&amp;$C$1</f>
        <v>"EAN": "123456"</v>
      </c>
      <c r="I21" s="29" t="str">
        <f>IF(G21="",I20,I20&amp;H21)</f>
        <v>{"enabled": "true", "name": "asddas", "currentPrice": "100", "previousPrice": "200", "categories": "fs", "imageUrls": "[]", "quantity": "5", "color": "aaaaaaaaaaaaaaaaaaaaaaaaaaaaaaaaaaaaaaaa", "myCustomParam": {"EAN": "123456"</v>
      </c>
      <c r="J21" s="19" t="s">
        <v>114</v>
      </c>
    </row>
    <row r="22" spans="1:10" x14ac:dyDescent="0.3">
      <c r="A22" s="19" t="s">
        <v>83</v>
      </c>
      <c r="B22" s="13" t="s">
        <v>93</v>
      </c>
      <c r="C22" s="14" t="s">
        <v>57</v>
      </c>
      <c r="D22" s="14" t="s">
        <v>51</v>
      </c>
      <c r="E22" s="14" t="s">
        <v>49</v>
      </c>
      <c r="F22" s="14"/>
      <c r="G22" s="25" t="s">
        <v>107</v>
      </c>
      <c r="H22" s="28" t="str">
        <f>$C$1&amp;$B22&amp;$C$1&amp;": "&amp;$C$1&amp;$G22&amp;$C$1</f>
        <v>"collection": "sad"</v>
      </c>
      <c r="I22" s="29" t="str">
        <f>IF(G22="",I21,I21&amp;", "&amp;H22)</f>
        <v>{"enabled": "true", "name": "asddas", "currentPrice": "100", "previousPrice": "200", "categories": "fs", "imageUrls": "[]", "quantity": "5", "color": "aaaaaaaaaaaaaaaaaaaaaaaaaaaaaaaaaaaaaaaa", "myCustomParam": {"EAN": "123456", "collection": "sad"</v>
      </c>
      <c r="J22" s="19" t="s">
        <v>114</v>
      </c>
    </row>
    <row r="23" spans="1:10" x14ac:dyDescent="0.3">
      <c r="A23" s="19" t="s">
        <v>83</v>
      </c>
      <c r="B23" s="13" t="s">
        <v>92</v>
      </c>
      <c r="C23" s="14" t="s">
        <v>57</v>
      </c>
      <c r="D23" s="14" t="s">
        <v>51</v>
      </c>
      <c r="E23" s="14" t="s">
        <v>49</v>
      </c>
      <c r="F23" s="14"/>
      <c r="G23" s="25"/>
      <c r="H23" s="28" t="str">
        <f>$C$1&amp;$B23&amp;$C$1&amp;": "&amp;$C$1&amp;$G23&amp;$C$1</f>
        <v>"material": ""</v>
      </c>
      <c r="I23" s="29" t="str">
        <f>IF(G23="",I22,I22&amp;", "&amp;H23)</f>
        <v>{"enabled": "true", "name": "asddas", "currentPrice": "100", "previousPrice": "200", "categories": "fs", "imageUrls": "[]", "quantity": "5", "color": "aaaaaaaaaaaaaaaaaaaaaaaaaaaaaaaaaaaaaaaa", "myCustomParam": {"EAN": "123456", "collection": "sad"</v>
      </c>
      <c r="J23" s="19" t="s">
        <v>114</v>
      </c>
    </row>
    <row r="24" spans="1:10" x14ac:dyDescent="0.3">
      <c r="A24" s="19" t="s">
        <v>83</v>
      </c>
      <c r="B24" s="13" t="s">
        <v>91</v>
      </c>
      <c r="C24" s="14" t="s">
        <v>57</v>
      </c>
      <c r="D24" s="14" t="s">
        <v>51</v>
      </c>
      <c r="E24" s="14" t="s">
        <v>49</v>
      </c>
      <c r="F24" s="14"/>
      <c r="G24" s="25" t="s">
        <v>108</v>
      </c>
      <c r="H24" s="28" t="str">
        <f>$C$1&amp;$B24&amp;$C$1&amp;": "&amp;$C$1&amp;$G24&amp;$C$1</f>
        <v>"care": "aa"</v>
      </c>
      <c r="I24" s="29" t="str">
        <f>IF(G24="",I23,I23&amp;", "&amp;H24)</f>
        <v>{"enabled": "true", "name": "asddas", "currentPrice": "100", "previousPrice": "200", "categories": "fs", "imageUrls": "[]", "quantity": "5", "color": "aaaaaaaaaaaaaaaaaaaaaaaaaaaaaaaaaaaaaaaa", "myCustomParam": {"EAN": "123456", "collection": "sad", "care": "aa"</v>
      </c>
      <c r="J24" s="19" t="s">
        <v>114</v>
      </c>
    </row>
    <row r="25" spans="1:10" ht="30" x14ac:dyDescent="0.3">
      <c r="A25" s="19" t="s">
        <v>83</v>
      </c>
      <c r="B25" s="13" t="s">
        <v>66</v>
      </c>
      <c r="C25" s="14" t="s">
        <v>57</v>
      </c>
      <c r="D25" s="14" t="s">
        <v>61</v>
      </c>
      <c r="E25" s="14" t="s">
        <v>49</v>
      </c>
      <c r="F25" s="14" t="s">
        <v>99</v>
      </c>
      <c r="G25" s="25"/>
      <c r="H25" s="28" t="str">
        <f>$C$1&amp;$B25&amp;$C$1&amp;": "&amp;$C$1&amp;$G25&amp;$C$1</f>
        <v>"sizes": ""</v>
      </c>
      <c r="I25" s="29" t="str">
        <f>IF(G25="",I24,I24&amp;", "&amp;H25)</f>
        <v>{"enabled": "true", "name": "asddas", "currentPrice": "100", "previousPrice": "200", "categories": "fs", "imageUrls": "[]", "quantity": "5", "color": "aaaaaaaaaaaaaaaaaaaaaaaaaaaaaaaaaaaaaaaa", "myCustomParam": {"EAN": "123456", "collection": "sad", "care": "aa"</v>
      </c>
      <c r="J25" s="19" t="s">
        <v>114</v>
      </c>
    </row>
    <row r="26" spans="1:10" x14ac:dyDescent="0.3">
      <c r="A26" s="19" t="s">
        <v>83</v>
      </c>
      <c r="B26" s="13" t="s">
        <v>90</v>
      </c>
      <c r="C26" s="14" t="s">
        <v>57</v>
      </c>
      <c r="D26" s="14" t="s">
        <v>54</v>
      </c>
      <c r="E26" s="14" t="s">
        <v>49</v>
      </c>
      <c r="F26" s="14" t="s">
        <v>89</v>
      </c>
      <c r="G26" s="25"/>
      <c r="H26" s="28" t="str">
        <f>$C$1&amp;$B26&amp;$C$1&amp;": "&amp;$C$1&amp;$G26&amp;$C$1</f>
        <v>"setSize": ""</v>
      </c>
      <c r="I26" s="29" t="str">
        <f>IF(G26="",I25,I25&amp;", "&amp;H26)</f>
        <v>{"enabled": "true", "name": "asddas", "currentPrice": "100", "previousPrice": "200", "categories": "fs", "imageUrls": "[]", "quantity": "5", "color": "aaaaaaaaaaaaaaaaaaaaaaaaaaaaaaaaaaaaaaaa", "myCustomParam": {"EAN": "123456", "collection": "sad", "care": "aa"</v>
      </c>
      <c r="J26" s="19" t="s">
        <v>114</v>
      </c>
    </row>
    <row r="27" spans="1:10" x14ac:dyDescent="0.3">
      <c r="A27" s="19" t="s">
        <v>83</v>
      </c>
      <c r="B27" s="13" t="s">
        <v>94</v>
      </c>
      <c r="C27" s="14" t="s">
        <v>57</v>
      </c>
      <c r="D27" s="14" t="s">
        <v>54</v>
      </c>
      <c r="E27" s="14" t="s">
        <v>49</v>
      </c>
      <c r="F27" s="14" t="s">
        <v>95</v>
      </c>
      <c r="G27" s="25"/>
      <c r="H27" s="28" t="str">
        <f>$C$1&amp;$B27&amp;$C$1&amp;": "&amp;$C$1&amp;$G27&amp;$C$1</f>
        <v>"capacity": ""</v>
      </c>
      <c r="I27" s="29" t="str">
        <f>IF(G27="",I26,I26&amp;", "&amp;H27)</f>
        <v>{"enabled": "true", "name": "asddas", "currentPrice": "100", "previousPrice": "200", "categories": "fs", "imageUrls": "[]", "quantity": "5", "color": "aaaaaaaaaaaaaaaaaaaaaaaaaaaaaaaaaaaaaaaa", "myCustomParam": {"EAN": "123456", "collection": "sad", "care": "aa"</v>
      </c>
      <c r="J27" s="19" t="s">
        <v>114</v>
      </c>
    </row>
    <row r="28" spans="1:10" x14ac:dyDescent="0.3">
      <c r="A28" s="19" t="s">
        <v>83</v>
      </c>
      <c r="B28" s="13" t="s">
        <v>96</v>
      </c>
      <c r="C28" s="14" t="s">
        <v>57</v>
      </c>
      <c r="D28" s="14" t="s">
        <v>54</v>
      </c>
      <c r="E28" s="14" t="s">
        <v>49</v>
      </c>
      <c r="F28" s="14" t="s">
        <v>98</v>
      </c>
      <c r="G28" s="25"/>
      <c r="H28" s="28" t="str">
        <f>$C$1&amp;$B28&amp;$C$1&amp;": "&amp;$C$1&amp;$G28&amp;$C$1</f>
        <v>"power": ""</v>
      </c>
      <c r="I28" s="29" t="str">
        <f>IF(G28="",I27,I27&amp;", "&amp;H28)</f>
        <v>{"enabled": "true", "name": "asddas", "currentPrice": "100", "previousPrice": "200", "categories": "fs", "imageUrls": "[]", "quantity": "5", "color": "aaaaaaaaaaaaaaaaaaaaaaaaaaaaaaaaaaaaaaaa", "myCustomParam": {"EAN": "123456", "collection": "sad", "care": "aa"</v>
      </c>
      <c r="J28" s="19" t="s">
        <v>114</v>
      </c>
    </row>
    <row r="29" spans="1:10" x14ac:dyDescent="0.3">
      <c r="A29" s="19" t="s">
        <v>83</v>
      </c>
      <c r="B29" s="13" t="s">
        <v>97</v>
      </c>
      <c r="C29" s="14" t="s">
        <v>57</v>
      </c>
      <c r="D29" s="14" t="s">
        <v>54</v>
      </c>
      <c r="E29" s="14" t="s">
        <v>49</v>
      </c>
      <c r="F29" s="14" t="s">
        <v>98</v>
      </c>
      <c r="G29" s="25"/>
      <c r="H29" s="28" t="str">
        <f>$C$1&amp;$B29&amp;$C$1&amp;": "&amp;$C$1&amp;$G29&amp;$C$1</f>
        <v>"voltage": ""</v>
      </c>
      <c r="I29" s="29" t="str">
        <f>IF(G29="",I28,I28&amp;", "&amp;H29)</f>
        <v>{"enabled": "true", "name": "asddas", "currentPrice": "100", "previousPrice": "200", "categories": "fs", "imageUrls": "[]", "quantity": "5", "color": "aaaaaaaaaaaaaaaaaaaaaaaaaaaaaaaaaaaaaaaa", "myCustomParam": {"EAN": "123456", "collection": "sad", "care": "aa"</v>
      </c>
      <c r="J29" s="19" t="s">
        <v>114</v>
      </c>
    </row>
    <row r="30" spans="1:10" ht="63.6" customHeight="1" x14ac:dyDescent="0.3">
      <c r="A30" s="19" t="s">
        <v>83</v>
      </c>
      <c r="B30" s="13" t="s">
        <v>120</v>
      </c>
      <c r="C30" s="14" t="s">
        <v>57</v>
      </c>
      <c r="D30" s="14" t="s">
        <v>51</v>
      </c>
      <c r="E30" s="14" t="s">
        <v>49</v>
      </c>
      <c r="F30" s="14"/>
      <c r="G30" s="27" t="s">
        <v>121</v>
      </c>
      <c r="H30" s="28" t="str">
        <f>$C$1&amp;$B30&amp;$C$1&amp;": "&amp;$C$1&amp;$G30&amp;$C$1</f>
        <v>"productDescription": "The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v>
      </c>
      <c r="I30" s="29" t="str">
        <f>IF(G30="",I29,I29&amp;", "&amp;H30)</f>
        <v>{"enabled": "true", "name": "asddas", "currentPrice": "100", "previousPrice": "200", "categories": "fs", "imageUrls": "[]", "quantity": "5", "color": "aaaaaaaaaaaaaaaaaaaaaaaaaaaaaaaaaaaaaaaa", "myCustomParam": {"EAN": "123456", "collection": "sad", "care": "aa", "productDescription": "The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v>
      </c>
      <c r="J30" s="19"/>
    </row>
    <row r="31" spans="1:10" x14ac:dyDescent="0.3">
      <c r="B31" s="1"/>
      <c r="G31" s="32" t="s">
        <v>106</v>
      </c>
      <c r="H31" s="28" t="s">
        <v>110</v>
      </c>
      <c r="I31" s="29" t="str">
        <f>IF(G31="",I30,I30&amp;H31)</f>
        <v>{"enabled": "true", "name": "asddas", "currentPrice": "100", "previousPrice": "200", "categories": "fs", "imageUrls": "[]", "quantity": "5", "color": "aaaaaaaaaaaaaaaaaaaaaaaaaaaaaaaaaaaaaaaa", "myCustomParam": {"EAN": "123456", "collection": "sad", "care": "aa", "productDescription": "The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 }</v>
      </c>
      <c r="J31" s="19" t="s">
        <v>114</v>
      </c>
    </row>
    <row r="32" spans="1:10" x14ac:dyDescent="0.3">
      <c r="B32" s="1"/>
      <c r="I32" s="8"/>
      <c r="J32" s="19"/>
    </row>
    <row r="33" spans="2:10" ht="73.8" customHeight="1" thickBot="1" x14ac:dyDescent="0.35">
      <c r="B33" s="1"/>
      <c r="H33" s="20"/>
      <c r="I33" s="23" t="s">
        <v>117</v>
      </c>
      <c r="J33" s="19" t="s">
        <v>114</v>
      </c>
    </row>
    <row r="34" spans="2:10" ht="104.4" customHeight="1" thickTop="1" thickBot="1" x14ac:dyDescent="0.35">
      <c r="H34" s="15" t="s">
        <v>118</v>
      </c>
      <c r="I34" s="26" t="s">
        <v>124</v>
      </c>
      <c r="J34" s="19" t="s">
        <v>114</v>
      </c>
    </row>
    <row r="35" spans="2:10" ht="16.2" thickTop="1" x14ac:dyDescent="0.3"/>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Format_data">
                <anchor moveWithCells="1" sizeWithCells="1">
                  <from>
                    <xdr:col>7</xdr:col>
                    <xdr:colOff>99060</xdr:colOff>
                    <xdr:row>32</xdr:row>
                    <xdr:rowOff>60960</xdr:rowOff>
                  </from>
                  <to>
                    <xdr:col>7</xdr:col>
                    <xdr:colOff>1219200</xdr:colOff>
                    <xdr:row>32</xdr:row>
                    <xdr:rowOff>891540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Межерицкий Владислав</dc:creator>
  <cp:lastModifiedBy>Межерицкий Владислав</cp:lastModifiedBy>
  <dcterms:created xsi:type="dcterms:W3CDTF">2020-01-09T09:24:19Z</dcterms:created>
  <dcterms:modified xsi:type="dcterms:W3CDTF">2020-01-10T08:34:50Z</dcterms:modified>
</cp:coreProperties>
</file>